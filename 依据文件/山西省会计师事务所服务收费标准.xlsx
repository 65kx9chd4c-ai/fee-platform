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<sst xmlns="http://schemas.openxmlformats.org/spreadsheetml/2006/main" count="19" uniqueCount="19">
  <si>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单位名称</t>
  </si>
  <si>
    <t>资产</t>
  </si>
  <si>
    <r>
      <rPr>
        <sz val="10"/>
        <color theme="1"/>
        <rFont val="Arial Narrow"/>
        <charset val="134"/>
      </rPr>
      <t>100</t>
    </r>
    <r>
      <rPr>
        <sz val="10"/>
        <color theme="1"/>
        <rFont val="宋体"/>
        <charset val="134"/>
      </rPr>
      <t>万以下</t>
    </r>
  </si>
  <si>
    <r>
      <rPr>
        <sz val="10"/>
        <color theme="1"/>
        <rFont val="Arial Narrow"/>
        <charset val="134"/>
      </rPr>
      <t>100-500</t>
    </r>
    <r>
      <rPr>
        <sz val="10"/>
        <color theme="1"/>
        <rFont val="宋体"/>
        <charset val="134"/>
      </rPr>
      <t>万元</t>
    </r>
  </si>
  <si>
    <r>
      <rPr>
        <sz val="10"/>
        <color theme="1"/>
        <rFont val="Arial Narrow"/>
        <charset val="134"/>
      </rPr>
      <t>500-1000</t>
    </r>
    <r>
      <rPr>
        <sz val="10"/>
        <color theme="1"/>
        <rFont val="宋体"/>
        <charset val="134"/>
      </rPr>
      <t>万</t>
    </r>
  </si>
  <si>
    <r>
      <rPr>
        <sz val="10"/>
        <color theme="1"/>
        <rFont val="Arial Narrow"/>
        <charset val="134"/>
      </rPr>
      <t>1000-3000</t>
    </r>
    <r>
      <rPr>
        <sz val="10"/>
        <color theme="1"/>
        <rFont val="宋体"/>
        <charset val="134"/>
      </rPr>
      <t>万</t>
    </r>
  </si>
  <si>
    <r>
      <rPr>
        <sz val="10"/>
        <color theme="1"/>
        <rFont val="Arial Narrow"/>
        <charset val="134"/>
      </rPr>
      <t>3000-5000</t>
    </r>
    <r>
      <rPr>
        <sz val="10"/>
        <color theme="1"/>
        <rFont val="宋体"/>
        <charset val="134"/>
      </rPr>
      <t>万</t>
    </r>
  </si>
  <si>
    <r>
      <rPr>
        <sz val="10"/>
        <color theme="1"/>
        <rFont val="Arial Narrow"/>
        <charset val="134"/>
      </rPr>
      <t>5000</t>
    </r>
    <r>
      <rPr>
        <sz val="10"/>
        <color theme="1"/>
        <rFont val="宋体"/>
        <charset val="134"/>
      </rPr>
      <t>万</t>
    </r>
    <r>
      <rPr>
        <sz val="10"/>
        <color theme="1"/>
        <rFont val="Arial Narrow"/>
        <charset val="134"/>
      </rPr>
      <t>-1</t>
    </r>
    <r>
      <rPr>
        <sz val="10"/>
        <color theme="1"/>
        <rFont val="宋体"/>
        <charset val="134"/>
      </rPr>
      <t>亿</t>
    </r>
  </si>
  <si>
    <r>
      <rPr>
        <sz val="10"/>
        <color theme="1"/>
        <rFont val="Arial Narrow"/>
        <charset val="134"/>
      </rPr>
      <t>1-3</t>
    </r>
    <r>
      <rPr>
        <sz val="10"/>
        <color theme="1"/>
        <rFont val="宋体"/>
        <charset val="134"/>
      </rPr>
      <t>亿</t>
    </r>
  </si>
  <si>
    <r>
      <rPr>
        <sz val="10"/>
        <color theme="1"/>
        <rFont val="Arial Narrow"/>
        <charset val="134"/>
      </rPr>
      <t>3-5</t>
    </r>
    <r>
      <rPr>
        <sz val="10"/>
        <color theme="1"/>
        <rFont val="宋体"/>
        <charset val="134"/>
      </rPr>
      <t>亿</t>
    </r>
  </si>
  <si>
    <r>
      <rPr>
        <sz val="10"/>
        <color theme="1"/>
        <rFont val="Arial Narrow"/>
        <charset val="134"/>
      </rPr>
      <t>5-7</t>
    </r>
    <r>
      <rPr>
        <sz val="10"/>
        <color theme="1"/>
        <rFont val="宋体"/>
        <charset val="134"/>
      </rPr>
      <t>亿</t>
    </r>
  </si>
  <si>
    <r>
      <rPr>
        <sz val="10"/>
        <color theme="1"/>
        <rFont val="Arial Narrow"/>
        <charset val="134"/>
      </rPr>
      <t>7-10</t>
    </r>
    <r>
      <rPr>
        <sz val="10"/>
        <color theme="1"/>
        <rFont val="宋体"/>
        <charset val="134"/>
      </rPr>
      <t>亿</t>
    </r>
  </si>
  <si>
    <r>
      <t>10-30</t>
    </r>
    <r>
      <rPr>
        <sz val="10"/>
        <color theme="1"/>
        <rFont val="宋体"/>
        <charset val="134"/>
      </rPr>
      <t>亿</t>
    </r>
  </si>
  <si>
    <r>
      <t>30-50</t>
    </r>
    <r>
      <rPr>
        <sz val="10"/>
        <color theme="1"/>
        <rFont val="宋体"/>
        <charset val="134"/>
      </rPr>
      <t>亿</t>
    </r>
  </si>
  <si>
    <r>
      <t>50-70</t>
    </r>
    <r>
      <rPr>
        <sz val="10"/>
        <color theme="1"/>
        <rFont val="宋体"/>
        <charset val="134"/>
      </rPr>
      <t>亿</t>
    </r>
  </si>
  <si>
    <r>
      <t>70-100</t>
    </r>
    <r>
      <rPr>
        <sz val="10"/>
        <color theme="1"/>
        <rFont val="宋体"/>
        <charset val="134"/>
      </rPr>
      <t>亿</t>
    </r>
  </si>
  <si>
    <r>
      <t>100</t>
    </r>
    <r>
      <rPr>
        <sz val="10"/>
        <color theme="1"/>
        <rFont val="宋体"/>
        <charset val="134"/>
      </rPr>
      <t>亿以上</t>
    </r>
  </si>
  <si>
    <t>合计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</si>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</sst>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 Narrow"/>
      <charset val="134"/>
    </font>
    <font>
      <b/>
      <sz val="10"/>
      <color theme="1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7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8">
      <alignment vertical="center"/>
    </xf>
    <xf numFmtId="0" fontId="10" fillId="0" borderId="18">
      <alignment vertical="center"/>
    </xf>
    <xf numFmtId="0" fontId="11" fillId="0" borderId="19">
      <alignment vertical="center"/>
    </xf>
    <xf numFmtId="0" fontId="11" fillId="0" borderId="0">
      <alignment vertical="center"/>
    </xf>
    <xf numFmtId="0" fontId="12" fillId="4" borderId="20">
      <alignment vertical="center"/>
    </xf>
    <xf numFmtId="0" fontId="13" fillId="5" borderId="21">
      <alignment vertical="center"/>
    </xf>
    <xf numFmtId="0" fontId="14" fillId="5" borderId="20">
      <alignment vertical="center"/>
    </xf>
    <xf numFmtId="0" fontId="15" fillId="6" borderId="22">
      <alignment vertical="center"/>
    </xf>
    <xf numFmtId="0" fontId="16" fillId="0" borderId="23">
      <alignment vertical="center"/>
    </xf>
    <xf numFmtId="0" fontId="17" fillId="0" borderId="24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1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43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49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43" fontId="2" fillId="0" borderId="3" xfId="50" applyFont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1" fillId="0" borderId="5" xfId="49" applyFont="1" applyBorder="1" applyAlignment="1">
      <alignment horizontal="center" vertical="center"/>
    </xf>
    <xf numFmtId="43" fontId="2" fillId="0" borderId="6" xfId="50" applyFont="1" applyBorder="1" applyAlignment="1">
      <alignment horizontal="center" vertical="center"/>
    </xf>
    <xf numFmtId="10" fontId="2" fillId="0" borderId="6" xfId="49" applyNumberFormat="1" applyFont="1" applyBorder="1" applyAlignment="1">
      <alignment horizontal="center" vertical="center"/>
    </xf>
    <xf numFmtId="0" fontId="1" fillId="0" borderId="7" xfId="49" applyFont="1" applyBorder="1" applyAlignment="1">
      <alignment horizontal="center" vertical="center"/>
    </xf>
    <xf numFmtId="0" fontId="1" fillId="0" borderId="8" xfId="49" applyFont="1" applyBorder="1" applyAlignment="1">
      <alignment horizontal="center" vertical="center"/>
    </xf>
    <xf numFmtId="43" fontId="2" fillId="0" borderId="6" xfId="50" applyFont="1" applyBorder="1">
      <alignment vertical="center"/>
    </xf>
    <xf numFmtId="0" fontId="1" fillId="0" borderId="9" xfId="49" applyFont="1" applyBorder="1" applyAlignment="1">
      <alignment horizontal="left" vertical="center"/>
    </xf>
    <xf numFmtId="43" fontId="2" fillId="0" borderId="9" xfId="50" applyFont="1" applyBorder="1" applyAlignment="1">
      <alignment horizontal="center" vertical="center"/>
    </xf>
    <xf numFmtId="43" fontId="2" fillId="0" borderId="6" xfId="1" applyFont="1" applyBorder="1">
      <alignment vertical="center"/>
    </xf>
    <xf numFmtId="43" fontId="2" fillId="0" borderId="10" xfId="50" applyFont="1" applyBorder="1" applyAlignment="1">
      <alignment horizontal="center" vertical="center"/>
    </xf>
    <xf numFmtId="0" fontId="2" fillId="0" borderId="11" xfId="49" applyFont="1" applyBorder="1" applyAlignment="1">
      <alignment horizontal="center" vertical="center"/>
    </xf>
    <xf numFmtId="43" fontId="2" fillId="0" borderId="11" xfId="50" applyFont="1" applyBorder="1" applyAlignment="1">
      <alignment horizontal="center" vertical="center"/>
    </xf>
    <xf numFmtId="9" fontId="0" fillId="0" borderId="0" xfId="0" applyNumberFormat="1" applyFont="1" applyFill="1" applyAlignment="1">
      <alignment vertical="center"/>
    </xf>
    <xf numFmtId="0" fontId="2" fillId="2" borderId="12" xfId="49" applyFont="1" applyFill="1" applyBorder="1" applyAlignment="1">
      <alignment horizontal="center" vertical="center"/>
    </xf>
    <xf numFmtId="176" fontId="2" fillId="0" borderId="6" xfId="49" applyNumberFormat="1" applyFont="1" applyBorder="1" applyAlignment="1">
      <alignment horizontal="center" vertical="center"/>
    </xf>
    <xf numFmtId="176" fontId="2" fillId="0" borderId="13" xfId="49" applyNumberFormat="1" applyFont="1" applyBorder="1" applyAlignment="1">
      <alignment vertical="center" wrapText="1"/>
    </xf>
    <xf numFmtId="43" fontId="2" fillId="0" borderId="6" xfId="49" applyNumberFormat="1" applyFont="1" applyBorder="1">
      <alignment vertical="center"/>
    </xf>
    <xf numFmtId="43" fontId="2" fillId="0" borderId="13" xfId="50" applyFont="1" applyBorder="1" applyAlignment="1">
      <alignment vertical="center" wrapText="1"/>
    </xf>
    <xf numFmtId="43" fontId="2" fillId="0" borderId="14" xfId="50" applyFont="1" applyBorder="1" applyAlignment="1">
      <alignment vertical="center" wrapText="1"/>
    </xf>
    <xf numFmtId="43" fontId="2" fillId="0" borderId="14" xfId="50" applyFont="1" applyBorder="1" applyAlignment="1">
      <alignment vertical="center" wrapText="1"/>
    </xf>
    <xf numFmtId="43" fontId="2" fillId="0" borderId="15" xfId="1" applyFont="1" applyBorder="1">
      <alignment vertical="center"/>
    </xf>
    <xf numFmtId="0" fontId="1" fillId="0" borderId="12" xfId="49" applyFont="1" applyBorder="1" applyAlignment="1">
      <alignment horizontal="center" vertical="center"/>
    </xf>
    <xf numFmtId="0" fontId="0" fillId="0" borderId="12" xfId="49" applyBorder="1" applyAlignment="1">
      <alignment horizontal="center" vertical="center"/>
    </xf>
    <xf numFmtId="0" fontId="2" fillId="0" borderId="13" xfId="49" applyFont="1" applyBorder="1">
      <alignment vertical="center"/>
    </xf>
    <xf numFmtId="10" fontId="2" fillId="0" borderId="13" xfId="51" applyNumberFormat="1" applyFont="1" applyBorder="1">
      <alignment vertical="center"/>
    </xf>
    <xf numFmtId="43" fontId="2" fillId="0" borderId="13" xfId="49" applyNumberFormat="1" applyFont="1" applyBorder="1">
      <alignment vertical="center"/>
    </xf>
    <xf numFmtId="43" fontId="3" fillId="0" borderId="13" xfId="1" applyFont="1" applyBorder="1">
      <alignment vertical="center"/>
    </xf>
    <xf numFmtId="43" fontId="0" fillId="0" borderId="0" xfId="1" applyFont="1">
      <alignment vertical="center"/>
    </xf>
    <xf numFmtId="43" fontId="0" fillId="0" borderId="0" xfId="49" applyNumberFormat="1">
      <alignment vertical="center"/>
    </xf>
    <xf numFmtId="43" fontId="3" fillId="0" borderId="14" xfId="1" applyFont="1" applyBorder="1">
      <alignment vertical="center"/>
    </xf>
    <xf numFmtId="43" fontId="3" fillId="0" borderId="16" xfId="1" applyFont="1" applyBorder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  <cellStyle name="百分比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57785</xdr:colOff>
      <xdr:row>10</xdr:row>
      <xdr:rowOff>139700</xdr:rowOff>
    </xdr:from>
    <xdr:to>
      <xdr:col>11</xdr:col>
      <xdr:colOff>208915</xdr:colOff>
      <xdr:row>38</xdr:row>
      <xdr:rowOff>68580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785" y="1936750"/>
          <a:ext cx="8863330" cy="49072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40"/>
  <sheetViews>
    <sheetView tabSelected="1" workbookViewId="0">
      <selection activeCell="I6" sqref="I6"/>
    </sheetView>
  </sheetViews>
  <sheetFormatPr defaultColWidth="8.72727272727273" defaultRowHeight="14"/>
  <cols>
    <col min="1" max="1" width="8.72727272727273" style="1"/>
    <col min="2" max="2" width="19" style="1" customWidth="1"/>
    <col min="3" max="6" width="8.72727272727273" style="1"/>
    <col min="7" max="7" width="10.2727272727273" style="1" customWidth="1"/>
    <col min="8" max="8" width="12.2727272727273" style="1" customWidth="1"/>
    <col min="9" max="12" width="13.1818181818182" style="1" customWidth="1"/>
    <col min="13" max="17" width="14.6363636363636" style="1" customWidth="1"/>
    <col min="18" max="18" width="12.9090909090909" style="1"/>
    <col min="19" max="16384" width="8.72727272727273" style="1"/>
  </cols>
  <sheetData>
    <row r="2" s="6" customFormat="1" ht="14.75"/>
    <row r="3" s="6" customFormat="1" spans="1:19">
      <c r="A3" s="7" t="s">
        <v>0</v>
      </c>
      <c r="B3" s="8" t="s">
        <v>1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25" t="s">
        <v>12</v>
      </c>
      <c r="N3" s="25" t="s">
        <v>13</v>
      </c>
      <c r="O3" s="25" t="s">
        <v>14</v>
      </c>
      <c r="P3" s="25" t="s">
        <v>15</v>
      </c>
      <c r="Q3" s="25" t="s">
        <v>16</v>
      </c>
      <c r="R3" s="33" t="s">
        <v>17</v>
      </c>
      <c r="S3" s="34" t="s">
        <v>18</v>
      </c>
    </row>
    <row r="4" s="6" customFormat="1" spans="1:19">
      <c r="A4" s="11"/>
      <c r="B4" s="12"/>
      <c r="C4" s="13">
        <v>2000</v>
      </c>
      <c r="D4" s="13">
        <v>4000</v>
      </c>
      <c r="E4" s="13">
        <v>7000</v>
      </c>
      <c r="F4" s="13">
        <v>8000</v>
      </c>
      <c r="G4" s="13">
        <v>10000</v>
      </c>
      <c r="H4" s="14">
        <v>0.0005</v>
      </c>
      <c r="I4" s="14">
        <v>0.0003</v>
      </c>
      <c r="J4" s="14">
        <v>0.0002</v>
      </c>
      <c r="K4" s="14">
        <v>0.0001</v>
      </c>
      <c r="L4" s="26">
        <v>8e-5</v>
      </c>
      <c r="M4" s="27">
        <v>7e-5</v>
      </c>
      <c r="N4" s="27">
        <v>6e-5</v>
      </c>
      <c r="O4" s="27">
        <v>5e-5</v>
      </c>
      <c r="P4" s="27">
        <v>4e-5</v>
      </c>
      <c r="Q4" s="27">
        <v>3e-5</v>
      </c>
      <c r="R4" s="35"/>
      <c r="S4" s="36"/>
    </row>
    <row r="5" s="6" customFormat="1" spans="1:19">
      <c r="A5" s="15"/>
      <c r="B5" s="16"/>
      <c r="C5" s="13"/>
      <c r="D5" s="13"/>
      <c r="E5" s="13"/>
      <c r="F5" s="13"/>
      <c r="G5" s="13"/>
      <c r="H5" s="17">
        <v>50000000</v>
      </c>
      <c r="I5" s="17">
        <v>200000000</v>
      </c>
      <c r="J5" s="17">
        <v>200000000</v>
      </c>
      <c r="K5" s="17">
        <v>200000000</v>
      </c>
      <c r="L5" s="28">
        <v>300000000</v>
      </c>
      <c r="M5" s="29">
        <v>2000000000</v>
      </c>
      <c r="N5" s="29">
        <v>2000000000</v>
      </c>
      <c r="O5" s="29">
        <v>2000000000</v>
      </c>
      <c r="P5" s="29">
        <v>3000000000</v>
      </c>
      <c r="Q5" s="29">
        <f>(B6-10000000000)</f>
        <v>9306000000</v>
      </c>
      <c r="R5" s="35"/>
      <c r="S5" s="35"/>
    </row>
    <row r="6" s="6" customFormat="1" spans="1:23">
      <c r="A6" s="18"/>
      <c r="B6" s="19">
        <f>193.06*100000000</f>
        <v>19306000000</v>
      </c>
      <c r="C6" s="13">
        <v>2000</v>
      </c>
      <c r="D6" s="17">
        <v>4000</v>
      </c>
      <c r="E6" s="17">
        <v>7000</v>
      </c>
      <c r="F6" s="17">
        <v>8000</v>
      </c>
      <c r="G6" s="20">
        <v>10000</v>
      </c>
      <c r="H6" s="20">
        <f t="shared" ref="H6:Q6" si="0">H5*H4</f>
        <v>25000</v>
      </c>
      <c r="I6" s="20">
        <f t="shared" si="0"/>
        <v>60000</v>
      </c>
      <c r="J6" s="20">
        <f t="shared" si="0"/>
        <v>40000</v>
      </c>
      <c r="K6" s="20">
        <f t="shared" si="0"/>
        <v>20000</v>
      </c>
      <c r="L6" s="20">
        <f t="shared" si="0"/>
        <v>24000</v>
      </c>
      <c r="M6" s="29">
        <f t="shared" si="0"/>
        <v>140000</v>
      </c>
      <c r="N6" s="29">
        <f t="shared" si="0"/>
        <v>120000</v>
      </c>
      <c r="O6" s="29">
        <f t="shared" si="0"/>
        <v>100000</v>
      </c>
      <c r="P6" s="29">
        <f t="shared" si="0"/>
        <v>120000</v>
      </c>
      <c r="Q6" s="29">
        <f t="shared" si="0"/>
        <v>279180</v>
      </c>
      <c r="R6" s="37">
        <f>SUM(C6:Q6)</f>
        <v>959180</v>
      </c>
      <c r="S6" s="38"/>
      <c r="T6" s="39"/>
      <c r="U6" s="40"/>
      <c r="V6" s="40"/>
      <c r="W6" s="40"/>
    </row>
    <row r="7" s="6" customFormat="1" spans="1:23">
      <c r="A7" s="18"/>
      <c r="B7" s="21"/>
      <c r="C7" s="13"/>
      <c r="D7" s="17"/>
      <c r="E7" s="17"/>
      <c r="F7" s="17"/>
      <c r="G7" s="20"/>
      <c r="H7" s="20"/>
      <c r="I7" s="20"/>
      <c r="J7" s="20"/>
      <c r="K7" s="20"/>
      <c r="L7" s="20"/>
      <c r="M7" s="30"/>
      <c r="N7" s="31"/>
      <c r="O7" s="31"/>
      <c r="P7" s="31"/>
      <c r="Q7" s="31"/>
      <c r="R7" s="37"/>
      <c r="S7" s="41"/>
      <c r="T7" s="39"/>
      <c r="U7" s="40"/>
      <c r="V7" s="40"/>
      <c r="W7" s="40"/>
    </row>
    <row r="8" s="6" customFormat="1" spans="1:23">
      <c r="A8" s="18"/>
      <c r="B8" s="21"/>
      <c r="C8" s="13"/>
      <c r="D8" s="17"/>
      <c r="E8" s="17"/>
      <c r="F8" s="17"/>
      <c r="G8" s="20"/>
      <c r="H8" s="20"/>
      <c r="I8" s="20"/>
      <c r="J8" s="20"/>
      <c r="K8" s="20"/>
      <c r="L8" s="20"/>
      <c r="M8" s="30"/>
      <c r="N8" s="31"/>
      <c r="O8" s="31"/>
      <c r="P8" s="31"/>
      <c r="Q8" s="31"/>
      <c r="R8" s="37"/>
      <c r="S8" s="41"/>
      <c r="T8" s="39"/>
      <c r="U8" s="40"/>
      <c r="V8" s="40"/>
      <c r="W8" s="40"/>
    </row>
    <row r="9" s="6" customFormat="1" spans="1:23">
      <c r="A9" s="18"/>
      <c r="B9" s="21"/>
      <c r="C9" s="13"/>
      <c r="D9" s="17"/>
      <c r="E9" s="17"/>
      <c r="F9" s="17"/>
      <c r="G9" s="20"/>
      <c r="H9" s="20"/>
      <c r="I9" s="32"/>
      <c r="J9" s="32"/>
      <c r="K9" s="32"/>
      <c r="L9" s="32"/>
      <c r="M9" s="30"/>
      <c r="N9" s="31"/>
      <c r="O9" s="31"/>
      <c r="P9" s="31"/>
      <c r="Q9" s="31"/>
      <c r="R9" s="37"/>
      <c r="S9" s="41"/>
      <c r="T9" s="39"/>
      <c r="U9" s="40"/>
      <c r="V9" s="40"/>
      <c r="W9" s="40"/>
    </row>
    <row r="10" s="6" customFormat="1" ht="14.75" spans="1:22">
      <c r="A10" s="22"/>
      <c r="B10" s="23">
        <f t="shared" ref="B10:M10" si="1">SUM(B6:B9)</f>
        <v>19306000000</v>
      </c>
      <c r="C10" s="23">
        <f t="shared" si="1"/>
        <v>2000</v>
      </c>
      <c r="D10" s="23">
        <f t="shared" si="1"/>
        <v>4000</v>
      </c>
      <c r="E10" s="23">
        <f t="shared" si="1"/>
        <v>7000</v>
      </c>
      <c r="F10" s="23">
        <f t="shared" si="1"/>
        <v>8000</v>
      </c>
      <c r="G10" s="23">
        <f t="shared" si="1"/>
        <v>10000</v>
      </c>
      <c r="H10" s="23">
        <f t="shared" si="1"/>
        <v>25000</v>
      </c>
      <c r="I10" s="23">
        <f t="shared" si="1"/>
        <v>60000</v>
      </c>
      <c r="J10" s="23">
        <f t="shared" si="1"/>
        <v>40000</v>
      </c>
      <c r="K10" s="23">
        <f t="shared" si="1"/>
        <v>20000</v>
      </c>
      <c r="L10" s="23">
        <f t="shared" si="1"/>
        <v>24000</v>
      </c>
      <c r="M10" s="23">
        <f t="shared" si="1"/>
        <v>140000</v>
      </c>
      <c r="N10" s="23"/>
      <c r="O10" s="23"/>
      <c r="P10" s="23"/>
      <c r="Q10" s="23"/>
      <c r="R10" s="23">
        <f>SUM(R6:R9)</f>
        <v>959180</v>
      </c>
      <c r="S10" s="42"/>
      <c r="U10" s="40"/>
      <c r="V10" s="40"/>
    </row>
    <row r="13" s="1" customFormat="1" spans="7:18">
      <c r="G13" s="24"/>
      <c r="I13" s="4"/>
      <c r="K13" s="4"/>
      <c r="R13" s="4"/>
    </row>
    <row r="14" s="1" customFormat="1" spans="7:18">
      <c r="G14" s="2"/>
      <c r="I14" s="4"/>
      <c r="K14" s="4"/>
      <c r="R14" s="4"/>
    </row>
    <row r="15" s="1" customFormat="1" spans="7:18">
      <c r="G15" s="2"/>
      <c r="I15" s="4"/>
      <c r="K15" s="4"/>
      <c r="R15" s="4"/>
    </row>
    <row r="16" s="1" customFormat="1" spans="7:18">
      <c r="G16" s="2"/>
      <c r="I16" s="4"/>
      <c r="K16" s="4"/>
      <c r="R16" s="4"/>
    </row>
    <row r="17" s="1" customFormat="1" spans="7:18">
      <c r="G17" s="2"/>
      <c r="I17" s="4"/>
      <c r="K17" s="4"/>
      <c r="R17" s="4"/>
    </row>
    <row r="18" s="1" customFormat="1" spans="7:18">
      <c r="G18" s="2"/>
      <c r="I18" s="4"/>
      <c r="R18" s="4"/>
    </row>
    <row r="19" s="1" customFormat="1" spans="7:18">
      <c r="G19" s="2"/>
      <c r="R19" s="4"/>
    </row>
    <row r="20" s="1" customFormat="1" spans="7:18">
      <c r="G20" s="2"/>
      <c r="R20" s="4"/>
    </row>
    <row r="21" s="1" customFormat="1" spans="2:18">
      <c r="B21" s="3"/>
      <c r="R21" s="4"/>
    </row>
    <row r="22" s="1" customFormat="1" spans="9:18">
      <c r="I22" s="5"/>
      <c r="R22" s="4"/>
    </row>
    <row r="23" s="1" customFormat="1" spans="18:18">
      <c r="R23" s="4"/>
    </row>
    <row r="24" s="1" customFormat="1" spans="18:18">
      <c r="R24" s="4"/>
    </row>
    <row r="35" s="1" customFormat="1" spans="8:8">
      <c r="H35" s="4"/>
    </row>
    <row r="36" s="1" customFormat="1" spans="7:8">
      <c r="G36" s="4"/>
      <c r="H36" s="4"/>
    </row>
    <row r="37" s="1" customFormat="1" spans="7:8">
      <c r="G37" s="4"/>
      <c r="H37" s="4"/>
    </row>
    <row r="38" s="1" customFormat="1" spans="7:8">
      <c r="G38" s="4"/>
      <c r="H38" s="4"/>
    </row>
    <row r="39" s="1" customFormat="1" spans="7:8">
      <c r="G39" s="4"/>
      <c r="H39" s="4"/>
    </row>
    <row r="40" s="1" customFormat="1" spans="7:8">
      <c r="G40" s="4"/>
      <c r="H40" s="4"/>
    </row>
  </sheetData>
  <mergeCells count="2">
    <mergeCell ref="A3:A5"/>
    <mergeCell ref="B3:B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27"/>
  <sheetViews>
    <sheetView workbookViewId="0">
      <selection activeCell="G11" sqref="G11"/>
    </sheetView>
  </sheetViews>
  <sheetFormatPr defaultColWidth="8.72727272727273" defaultRowHeight="14"/>
  <cols>
    <col min="1" max="1" width="8.72727272727273" style="1"/>
    <col min="2" max="2" width="19" style="1" customWidth="1"/>
    <col min="3" max="6" width="8.72727272727273" style="1"/>
    <col min="7" max="7" width="10.2727272727273" style="1" customWidth="1"/>
    <col min="8" max="8" width="12.2727272727273" style="1" customWidth="1"/>
    <col min="9" max="12" width="13.1818181818182" style="1" customWidth="1"/>
    <col min="13" max="17" width="14.6363636363636" style="1" customWidth="1"/>
    <col min="18" max="18" width="12.9090909090909" style="1"/>
    <col min="19" max="16384" width="8.72727272727273" style="1"/>
  </cols>
  <sheetData>
    <row r="1" s="1" customFormat="1" spans="7:18">
      <c r="G1" s="2"/>
      <c r="I1" s="4"/>
      <c r="K1" s="4"/>
      <c r="R1" s="4"/>
    </row>
    <row r="2" s="1" customFormat="1" spans="7:18">
      <c r="G2" s="2"/>
      <c r="I2" s="4"/>
      <c r="K2" s="4"/>
      <c r="R2" s="4"/>
    </row>
    <row r="3" s="1" customFormat="1" spans="7:18">
      <c r="G3" s="2"/>
      <c r="I3" s="4"/>
      <c r="K3" s="4"/>
      <c r="R3" s="4"/>
    </row>
    <row r="4" s="1" customFormat="1" spans="7:18">
      <c r="G4" s="2"/>
      <c r="I4" s="4"/>
      <c r="K4" s="4"/>
      <c r="R4" s="4"/>
    </row>
    <row r="5" s="1" customFormat="1" spans="7:18">
      <c r="G5" s="2"/>
      <c r="I5" s="4"/>
      <c r="R5" s="4"/>
    </row>
    <row r="6" s="1" customFormat="1" spans="7:18">
      <c r="G6" s="2"/>
      <c r="R6" s="4"/>
    </row>
    <row r="7" s="1" customFormat="1" spans="7:18">
      <c r="G7" s="2"/>
      <c r="R7" s="4"/>
    </row>
    <row r="8" s="1" customFormat="1" spans="2:18">
      <c r="B8" s="3"/>
      <c r="R8" s="4"/>
    </row>
    <row r="9" s="1" customFormat="1" spans="9:18">
      <c r="I9" s="5"/>
      <c r="R9" s="4"/>
    </row>
    <row r="10" s="1" customFormat="1" spans="18:18">
      <c r="R10" s="4"/>
    </row>
    <row r="11" s="1" customFormat="1" spans="18:18">
      <c r="R11" s="4"/>
    </row>
    <row r="22" s="1" customFormat="1" spans="8:8">
      <c r="H22" s="4"/>
    </row>
    <row r="23" s="1" customFormat="1" spans="7:8">
      <c r="G23" s="4"/>
      <c r="H23" s="4"/>
    </row>
    <row r="24" s="1" customFormat="1" spans="7:8">
      <c r="G24" s="4"/>
      <c r="H24" s="4"/>
    </row>
    <row r="25" s="1" customFormat="1" spans="7:8">
      <c r="G25" s="4"/>
      <c r="H25" s="4"/>
    </row>
    <row r="26" s="1" customFormat="1" spans="7:8">
      <c r="G26" s="4"/>
      <c r="H26" s="4"/>
    </row>
    <row r="27" s="1" customFormat="1" spans="7:8">
      <c r="G27" s="4"/>
      <c r="H27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yandan</dc:creator>
  <cp:lastModifiedBy>WPS_1644204628</cp:lastModifiedBy>
  <dcterms:created xsi:type="dcterms:W3CDTF">2023-05-12T11:15:00Z</dcterms:created>
  <dcterms:modified xsi:type="dcterms:W3CDTF">2025-10-10T04:44:42Z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8008C3463004416AB82D459A6EAF5D6F_12</vt:lpwstr>
  </property>
</Properties>
</file>